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kh Pandya\Desktop\Batches\23_DS_Club2_AU\Excel\"/>
    </mc:Choice>
  </mc:AlternateContent>
  <xr:revisionPtr revIDLastSave="0" documentId="8_{D9AB47B6-D90F-4F47-9636-FE9F633AC73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2" r:id="rId1"/>
    <sheet name="Sheet2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3" l="1"/>
  <c r="D23" i="3"/>
  <c r="B23" i="3"/>
  <c r="C22" i="3"/>
  <c r="D22" i="3"/>
  <c r="B22" i="3"/>
  <c r="C21" i="3"/>
  <c r="D21" i="3"/>
  <c r="B21" i="3"/>
  <c r="C20" i="3"/>
  <c r="D20" i="3"/>
  <c r="B20" i="3"/>
  <c r="C19" i="3"/>
  <c r="D19" i="3"/>
  <c r="B19" i="3"/>
  <c r="C18" i="3"/>
  <c r="D18" i="3"/>
  <c r="B18" i="3"/>
  <c r="C15" i="3"/>
  <c r="D15" i="3"/>
  <c r="B15" i="3"/>
  <c r="C17" i="3"/>
  <c r="B17" i="3"/>
  <c r="C16" i="3"/>
  <c r="B16" i="3"/>
  <c r="C14" i="3"/>
  <c r="B14" i="3"/>
  <c r="C13" i="3"/>
  <c r="B13" i="3"/>
  <c r="D3" i="3"/>
  <c r="D4" i="3"/>
  <c r="D5" i="3"/>
  <c r="D16" i="3" s="1"/>
  <c r="D6" i="3"/>
  <c r="D7" i="3"/>
  <c r="D14" i="3" s="1"/>
  <c r="D8" i="3"/>
  <c r="D9" i="3"/>
  <c r="D10" i="3"/>
  <c r="D11" i="3"/>
  <c r="D2" i="3"/>
  <c r="D17" i="3" s="1"/>
  <c r="C23" i="2"/>
  <c r="D23" i="2"/>
  <c r="B23" i="2"/>
  <c r="C22" i="2"/>
  <c r="D22" i="2"/>
  <c r="B22" i="2"/>
  <c r="C21" i="2"/>
  <c r="D21" i="2"/>
  <c r="B21" i="2"/>
  <c r="C20" i="2"/>
  <c r="D20" i="2"/>
  <c r="B20" i="2"/>
  <c r="C19" i="2"/>
  <c r="D19" i="2"/>
  <c r="B19" i="2"/>
  <c r="C18" i="2"/>
  <c r="D18" i="2"/>
  <c r="B18" i="2"/>
  <c r="C15" i="2"/>
  <c r="D15" i="2"/>
  <c r="B15" i="2"/>
  <c r="C17" i="2"/>
  <c r="B17" i="2"/>
  <c r="C16" i="2"/>
  <c r="B16" i="2"/>
  <c r="C14" i="2"/>
  <c r="B14" i="2"/>
  <c r="C13" i="2"/>
  <c r="B13" i="2"/>
  <c r="D3" i="2"/>
  <c r="D4" i="2"/>
  <c r="D5" i="2"/>
  <c r="D6" i="2"/>
  <c r="D7" i="2"/>
  <c r="D13" i="2" s="1"/>
  <c r="D8" i="2"/>
  <c r="D9" i="2"/>
  <c r="D10" i="2"/>
  <c r="D11" i="2"/>
  <c r="D2" i="2"/>
  <c r="D17" i="2" s="1"/>
  <c r="D13" i="3" l="1"/>
  <c r="D14" i="2"/>
  <c r="D16" i="2"/>
</calcChain>
</file>

<file path=xl/sharedStrings.xml><?xml version="1.0" encoding="utf-8"?>
<sst xmlns="http://schemas.openxmlformats.org/spreadsheetml/2006/main" count="50" uniqueCount="36">
  <si>
    <t>Name</t>
  </si>
  <si>
    <t>Test 1</t>
  </si>
  <si>
    <t>Test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</si>
  <si>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</si>
  <si>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</si>
  <si>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</si>
  <si>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</si>
  <si>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</si>
  <si>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</si>
  <si>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</si>
  <si>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</si>
  <si>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</si>
  <si>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</si>
  <si>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</si>
  <si>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</si>
  <si>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</si>
  <si>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</si>
  <si>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</si>
  <si>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</si>
  <si>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</si>
  <si>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</si>
  <si>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</si>
  <si>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</si>
  <si>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</si>
  <si>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</si>
  <si>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Total</t>
  </si>
  <si>
    <t>Mean</t>
  </si>
  <si>
    <t>Variance</t>
  </si>
  <si>
    <t>Standard Deviation</t>
  </si>
  <si>
    <t>Q1</t>
  </si>
  <si>
    <t>Q2 (Median)</t>
  </si>
  <si>
    <t>Min</t>
  </si>
  <si>
    <t>Q3</t>
  </si>
  <si>
    <t>Max</t>
  </si>
  <si>
    <t>P-15</t>
  </si>
  <si>
    <t>P-60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</si>
</sst>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0" fillId="3" borderId="1" xfId="0" applyFill="1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7403-DF84-458E-9C49-FC99520A3F2F}">
  <sheetPr codeName="Sheet1"/>
  <dimension ref="A1:D24"/>
  <sheetViews>
    <sheetView workbookViewId="0">
      <selection activeCell="C18" sqref="C18"/>
    </sheetView>
  </sheetViews>
  <sheetFormatPr defaultRowHeight="14.4" x14ac:dyDescent="0.3"/>
  <cols>
    <col min="1" max="1" width="17.33203125" bestFit="1" customWidth="1"/>
  </cols>
  <sheetData>
    <row r="1" spans="1:4" ht="15.6" x14ac:dyDescent="0.3">
      <c r="A1" s="2" t="s">
        <v>0</v>
      </c>
      <c r="B1" s="2" t="s">
        <v>1</v>
      </c>
      <c r="C1" s="2" t="s">
        <v>2</v>
      </c>
      <c r="D1" s="2" t="s">
        <v>25</v>
      </c>
    </row>
    <row r="2" spans="1:4" x14ac:dyDescent="0.3">
      <c r="A2" s="3" t="s">
        <v>3</v>
      </c>
      <c r="B2" s="4">
        <v>30</v>
      </c>
      <c r="C2" s="4">
        <v>44</v>
      </c>
      <c r="D2" s="6">
        <f>B2+C2</f>
        <v>74</v>
      </c>
    </row>
    <row r="3" spans="1:4" x14ac:dyDescent="0.3">
      <c r="A3" s="3" t="s">
        <v>4</v>
      </c>
      <c r="B3" s="4">
        <v>25</v>
      </c>
      <c r="C3" s="4">
        <v>29</v>
      </c>
      <c r="D3" s="6">
        <f t="shared" ref="D3:D11" si="0">B3+C3</f>
        <v>54</v>
      </c>
    </row>
    <row r="4" spans="1:4" x14ac:dyDescent="0.3">
      <c r="A4" s="3" t="s">
        <v>5</v>
      </c>
      <c r="B4" s="4">
        <v>35</v>
      </c>
      <c r="C4" s="4">
        <v>45</v>
      </c>
      <c r="D4" s="6">
        <f t="shared" si="0"/>
        <v>80</v>
      </c>
    </row>
    <row r="5" spans="1:4" x14ac:dyDescent="0.3">
      <c r="A5" s="3" t="s">
        <v>6</v>
      </c>
      <c r="B5" s="4">
        <v>50</v>
      </c>
      <c r="C5" s="4">
        <v>45</v>
      </c>
      <c r="D5" s="6">
        <f t="shared" si="0"/>
        <v>95</v>
      </c>
    </row>
    <row r="6" spans="1:4" x14ac:dyDescent="0.3">
      <c r="A6" s="3" t="s">
        <v>7</v>
      </c>
      <c r="B6" s="4">
        <v>49</v>
      </c>
      <c r="C6" s="4">
        <v>42</v>
      </c>
      <c r="D6" s="6">
        <f t="shared" si="0"/>
        <v>91</v>
      </c>
    </row>
    <row r="7" spans="1:4" x14ac:dyDescent="0.3">
      <c r="A7" s="3" t="s">
        <v>8</v>
      </c>
      <c r="B7" s="4">
        <v>22</v>
      </c>
      <c r="C7" s="4">
        <v>37</v>
      </c>
      <c r="D7" s="6">
        <f t="shared" si="0"/>
        <v>59</v>
      </c>
    </row>
    <row r="8" spans="1:4" x14ac:dyDescent="0.3">
      <c r="A8" s="3" t="s">
        <v>9</v>
      </c>
      <c r="B8" s="4">
        <v>48</v>
      </c>
      <c r="C8" s="4">
        <v>40</v>
      </c>
      <c r="D8" s="6">
        <f t="shared" si="0"/>
        <v>88</v>
      </c>
    </row>
    <row r="9" spans="1:4" x14ac:dyDescent="0.3">
      <c r="A9" s="3" t="s">
        <v>10</v>
      </c>
      <c r="B9" s="4">
        <v>28</v>
      </c>
      <c r="C9" s="4">
        <v>38</v>
      </c>
      <c r="D9" s="6">
        <f t="shared" si="0"/>
        <v>66</v>
      </c>
    </row>
    <row r="10" spans="1:4" x14ac:dyDescent="0.3">
      <c r="A10" s="3" t="s">
        <v>11</v>
      </c>
      <c r="B10" s="4">
        <v>33</v>
      </c>
      <c r="C10" s="4">
        <v>29</v>
      </c>
      <c r="D10" s="6">
        <f t="shared" si="0"/>
        <v>62</v>
      </c>
    </row>
    <row r="11" spans="1:4" x14ac:dyDescent="0.3">
      <c r="A11" s="3" t="s">
        <v>12</v>
      </c>
      <c r="B11" s="4">
        <v>40</v>
      </c>
      <c r="C11" s="4">
        <v>26</v>
      </c>
      <c r="D11" s="6">
        <f t="shared" si="0"/>
        <v>66</v>
      </c>
    </row>
    <row r="13" spans="1:4" x14ac:dyDescent="0.3">
      <c r="A13" s="5" t="s">
        <v>25</v>
      </c>
      <c r="B13" s="6">
        <f>SUM(B2:B11)</f>
        <v>360</v>
      </c>
      <c r="C13" s="6">
        <f t="shared" ref="C13:D13" si="1">SUM(C2:C11)</f>
        <v>375</v>
      </c>
      <c r="D13" s="6">
        <f t="shared" si="1"/>
        <v>735</v>
      </c>
    </row>
    <row r="14" spans="1:4" x14ac:dyDescent="0.3">
      <c r="A14" s="5" t="s">
        <v>26</v>
      </c>
      <c r="B14" s="6">
        <f>ROUND(AVERAGE(B2:B11), 2)</f>
        <v>36</v>
      </c>
      <c r="C14" s="6">
        <f t="shared" ref="C14:D14" si="2">ROUND(AVERAGE(C2:C11), 2)</f>
        <v>37.5</v>
      </c>
      <c r="D14" s="6">
        <f t="shared" si="2"/>
        <v>73.5</v>
      </c>
    </row>
    <row r="15" spans="1:4" x14ac:dyDescent="0.3">
      <c r="A15" s="5" t="s">
        <v>31</v>
      </c>
      <c r="B15" s="6">
        <f>MIN(B2:B11)</f>
        <v>22</v>
      </c>
      <c r="C15" s="6">
        <f t="shared" ref="C15:D15" si="3">MIN(C2:C11)</f>
        <v>26</v>
      </c>
      <c r="D15" s="6">
        <f t="shared" si="3"/>
        <v>54</v>
      </c>
    </row>
    <row r="16" spans="1:4" x14ac:dyDescent="0.3">
      <c r="A16" s="5" t="s">
        <v>29</v>
      </c>
      <c r="B16" s="6">
        <f>ROUND(_xlfn.QUARTILE.EXC(B2:B11, 1), 2)</f>
        <v>27.25</v>
      </c>
      <c r="C16" s="6">
        <f t="shared" ref="C16:D16" si="4">ROUND(_xlfn.QUARTILE.EXC(C2:C11, 1), 2)</f>
        <v>29</v>
      </c>
      <c r="D16" s="6">
        <f t="shared" si="4"/>
        <v>61.25</v>
      </c>
    </row>
    <row r="17" spans="1:4" x14ac:dyDescent="0.3">
      <c r="A17" s="5" t="s">
        <v>30</v>
      </c>
      <c r="B17" s="6">
        <f>ROUND(_xlfn.QUARTILE.EXC(B2:B11, 2), 2)</f>
        <v>34</v>
      </c>
      <c r="C17" s="6">
        <f t="shared" ref="C17:D17" si="5">ROUND(_xlfn.QUARTILE.EXC(C2:C11, 2), 2)</f>
        <v>39</v>
      </c>
      <c r="D17" s="6">
        <f t="shared" si="5"/>
        <v>70</v>
      </c>
    </row>
    <row r="18" spans="1:4" x14ac:dyDescent="0.3">
      <c r="A18" s="5" t="s">
        <v>32</v>
      </c>
      <c r="B18" s="6">
        <f>ROUND(_xlfn.QUARTILE.EXC(B2:B11, 3), 2)</f>
        <v>48.25</v>
      </c>
      <c r="C18" s="6">
        <f t="shared" ref="C18:D18" si="6">ROUND(_xlfn.QUARTILE.EXC(C2:C11, 3), 2)</f>
        <v>44.25</v>
      </c>
      <c r="D18" s="6">
        <f t="shared" si="6"/>
        <v>88.75</v>
      </c>
    </row>
    <row r="19" spans="1:4" x14ac:dyDescent="0.3">
      <c r="A19" s="5" t="s">
        <v>33</v>
      </c>
      <c r="B19" s="6">
        <f>MAX(B2:B11)</f>
        <v>50</v>
      </c>
      <c r="C19" s="6">
        <f t="shared" ref="C19:D19" si="7">MAX(C2:C11)</f>
        <v>45</v>
      </c>
      <c r="D19" s="6">
        <f t="shared" si="7"/>
        <v>95</v>
      </c>
    </row>
    <row r="20" spans="1:4" x14ac:dyDescent="0.3">
      <c r="A20" s="5" t="s">
        <v>34</v>
      </c>
      <c r="B20" s="6">
        <f>ROUND(_xlfn.PERCENTILE.EXC(B2:B11, 0.15), 2)</f>
        <v>23.95</v>
      </c>
      <c r="C20" s="6">
        <f t="shared" ref="C20:D20" si="8">ROUND(_xlfn.PERCENTILE.EXC(C2:C11, 0.15), 2)</f>
        <v>27.95</v>
      </c>
      <c r="D20" s="6">
        <f t="shared" si="8"/>
        <v>57.25</v>
      </c>
    </row>
    <row r="21" spans="1:4" x14ac:dyDescent="0.3">
      <c r="A21" s="5" t="s">
        <v>35</v>
      </c>
      <c r="B21" s="6">
        <f>ROUND(_xlfn.PERCENTILE.EXC(B2:B11, 0.6), 2)</f>
        <v>38</v>
      </c>
      <c r="C21" s="6">
        <f t="shared" ref="C21:D21" si="9">ROUND(_xlfn.PERCENTILE.EXC(C2:C11, 0.6), 2)</f>
        <v>41.2</v>
      </c>
      <c r="D21" s="6">
        <f t="shared" si="9"/>
        <v>77.599999999999994</v>
      </c>
    </row>
    <row r="22" spans="1:4" x14ac:dyDescent="0.3">
      <c r="A22" s="5" t="s">
        <v>27</v>
      </c>
      <c r="B22" s="6">
        <f>ROUND(_xlfn.VAR.P(B2:B11), 2)</f>
        <v>95.2</v>
      </c>
      <c r="C22" s="6">
        <f t="shared" ref="C22:D22" si="10">ROUND(_xlfn.VAR.P(C2:C11), 2)</f>
        <v>45.85</v>
      </c>
      <c r="D22" s="6">
        <f t="shared" si="10"/>
        <v>185.65</v>
      </c>
    </row>
    <row r="23" spans="1:4" x14ac:dyDescent="0.3">
      <c r="A23" s="5" t="s">
        <v>28</v>
      </c>
      <c r="B23" s="6">
        <f>ROUND(_xlfn.STDEV.P(B2:B11), 2)</f>
        <v>9.76</v>
      </c>
      <c r="C23" s="6">
        <f t="shared" ref="C23:D23" si="11">ROUND(_xlfn.STDEV.P(C2:C11), 2)</f>
        <v>6.77</v>
      </c>
      <c r="D23" s="6">
        <f t="shared" si="11"/>
        <v>13.63</v>
      </c>
    </row>
    <row r="24" spans="1:4" x14ac:dyDescent="0.3">
      <c r="A24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B822A-A7A2-4404-9D0A-D131B82F7B7C}">
  <sheetPr codeName="Sheet2"/>
  <dimension ref="A1:D23"/>
  <sheetViews>
    <sheetView tabSelected="1" workbookViewId="0">
      <selection activeCell="A10" sqref="A10"/>
    </sheetView>
  </sheetViews>
  <sheetFormatPr defaultRowHeight="14.4" x14ac:dyDescent="0.3"/>
  <cols>
    <col min="1" max="1" width="17.33203125" bestFit="1" customWidth="1"/>
  </cols>
  <sheetData>
    <row r="1" spans="1:4" x14ac:dyDescent="0.3">
      <c r="A1" s="7" t="s">
        <v>0</v>
      </c>
      <c r="B1" s="7" t="s">
        <v>13</v>
      </c>
      <c r="C1" s="7" t="s">
        <v>14</v>
      </c>
      <c r="D1" s="7" t="s">
        <v>25</v>
      </c>
    </row>
    <row r="2" spans="1:4" x14ac:dyDescent="0.3">
      <c r="A2" s="3" t="s">
        <v>15</v>
      </c>
      <c r="B2" s="4">
        <v>10</v>
      </c>
      <c r="C2" s="4">
        <v>15</v>
      </c>
      <c r="D2" s="6">
        <f>B2+C2</f>
        <v>25</v>
      </c>
    </row>
    <row r="3" spans="1:4" x14ac:dyDescent="0.3">
      <c r="A3" s="3" t="s">
        <v>16</v>
      </c>
      <c r="B3" s="4">
        <v>12</v>
      </c>
      <c r="C3" s="4">
        <v>12</v>
      </c>
      <c r="D3" s="6">
        <f t="shared" ref="D3:D11" si="0">B3+C3</f>
        <v>24</v>
      </c>
    </row>
    <row r="4" spans="1:4" x14ac:dyDescent="0.3">
      <c r="A4" s="3" t="s">
        <v>17</v>
      </c>
      <c r="B4" s="4">
        <v>11</v>
      </c>
      <c r="C4" s="4">
        <v>13</v>
      </c>
      <c r="D4" s="6">
        <f t="shared" si="0"/>
        <v>24</v>
      </c>
    </row>
    <row r="5" spans="1:4" x14ac:dyDescent="0.3">
      <c r="A5" s="3" t="s">
        <v>18</v>
      </c>
      <c r="B5" s="4">
        <v>9</v>
      </c>
      <c r="C5" s="4">
        <v>15</v>
      </c>
      <c r="D5" s="6">
        <f t="shared" si="0"/>
        <v>24</v>
      </c>
    </row>
    <row r="6" spans="1:4" x14ac:dyDescent="0.3">
      <c r="A6" s="3" t="s">
        <v>19</v>
      </c>
      <c r="B6" s="4">
        <v>14</v>
      </c>
      <c r="C6" s="4">
        <v>9</v>
      </c>
      <c r="D6" s="6">
        <f t="shared" si="0"/>
        <v>23</v>
      </c>
    </row>
    <row r="7" spans="1:4" x14ac:dyDescent="0.3">
      <c r="A7" s="3" t="s">
        <v>20</v>
      </c>
      <c r="B7" s="4">
        <v>15</v>
      </c>
      <c r="C7" s="4">
        <v>10</v>
      </c>
      <c r="D7" s="6">
        <f t="shared" si="0"/>
        <v>25</v>
      </c>
    </row>
    <row r="8" spans="1:4" x14ac:dyDescent="0.3">
      <c r="A8" s="3" t="s">
        <v>21</v>
      </c>
      <c r="B8" s="4">
        <v>13</v>
      </c>
      <c r="C8" s="4">
        <v>10</v>
      </c>
      <c r="D8" s="6">
        <f t="shared" si="0"/>
        <v>23</v>
      </c>
    </row>
    <row r="9" spans="1:4" x14ac:dyDescent="0.3">
      <c r="A9" s="3" t="s">
        <v>22</v>
      </c>
      <c r="B9" s="4">
        <v>7</v>
      </c>
      <c r="C9" s="4">
        <v>11</v>
      </c>
      <c r="D9" s="6">
        <f t="shared" si="0"/>
        <v>18</v>
      </c>
    </row>
    <row r="10" spans="1:4" x14ac:dyDescent="0.3">
      <c r="A10" s="3" t="s">
        <v>23</v>
      </c>
      <c r="B10" s="4">
        <v>8</v>
      </c>
      <c r="C10" s="4">
        <v>15</v>
      </c>
      <c r="D10" s="6">
        <f t="shared" si="0"/>
        <v>23</v>
      </c>
    </row>
    <row r="11" spans="1:4" x14ac:dyDescent="0.3">
      <c r="A11" s="3" t="s">
        <v>24</v>
      </c>
      <c r="B11" s="4">
        <v>9</v>
      </c>
      <c r="C11" s="4">
        <v>13</v>
      </c>
      <c r="D11" s="6">
        <f t="shared" si="0"/>
        <v>22</v>
      </c>
    </row>
    <row r="13" spans="1:4" x14ac:dyDescent="0.3">
      <c r="A13" s="5" t="s">
        <v>25</v>
      </c>
      <c r="B13" s="6">
        <f>SUM(B2:B11)</f>
        <v>108</v>
      </c>
      <c r="C13" s="6">
        <f t="shared" ref="C13:D13" si="1">SUM(C2:C11)</f>
        <v>123</v>
      </c>
      <c r="D13" s="6">
        <f t="shared" si="1"/>
        <v>231</v>
      </c>
    </row>
    <row r="14" spans="1:4" x14ac:dyDescent="0.3">
      <c r="A14" s="5" t="s">
        <v>26</v>
      </c>
      <c r="B14" s="6">
        <f>ROUND(AVERAGE(B2:B11), 2)</f>
        <v>10.8</v>
      </c>
      <c r="C14" s="6">
        <f t="shared" ref="C14:D14" si="2">ROUND(AVERAGE(C2:C11), 2)</f>
        <v>12.3</v>
      </c>
      <c r="D14" s="6">
        <f t="shared" si="2"/>
        <v>23.1</v>
      </c>
    </row>
    <row r="15" spans="1:4" x14ac:dyDescent="0.3">
      <c r="A15" s="5" t="s">
        <v>31</v>
      </c>
      <c r="B15" s="6">
        <f>MIN(B2:B11)</f>
        <v>7</v>
      </c>
      <c r="C15" s="6">
        <f t="shared" ref="C15:D15" si="3">MIN(C2:C11)</f>
        <v>9</v>
      </c>
      <c r="D15" s="6">
        <f t="shared" si="3"/>
        <v>18</v>
      </c>
    </row>
    <row r="16" spans="1:4" x14ac:dyDescent="0.3">
      <c r="A16" s="5" t="s">
        <v>29</v>
      </c>
      <c r="B16" s="6">
        <f>ROUND(_xlfn.QUARTILE.EXC(B2:B11, 1), 2)</f>
        <v>8.75</v>
      </c>
      <c r="C16" s="6">
        <f t="shared" ref="C16:D16" si="4">ROUND(_xlfn.QUARTILE.EXC(C2:C11, 1), 2)</f>
        <v>10</v>
      </c>
      <c r="D16" s="6">
        <f t="shared" si="4"/>
        <v>22.75</v>
      </c>
    </row>
    <row r="17" spans="1:4" x14ac:dyDescent="0.3">
      <c r="A17" s="5" t="s">
        <v>30</v>
      </c>
      <c r="B17" s="6">
        <f>ROUND(_xlfn.QUARTILE.EXC(B2:B11, 2), 2)</f>
        <v>10.5</v>
      </c>
      <c r="C17" s="6">
        <f t="shared" ref="C17:D17" si="5">ROUND(_xlfn.QUARTILE.EXC(C2:C11, 2), 2)</f>
        <v>12.5</v>
      </c>
      <c r="D17" s="6">
        <f t="shared" si="5"/>
        <v>23.5</v>
      </c>
    </row>
    <row r="18" spans="1:4" x14ac:dyDescent="0.3">
      <c r="A18" s="5" t="s">
        <v>32</v>
      </c>
      <c r="B18" s="6">
        <f>ROUND(_xlfn.QUARTILE.EXC(B2:B11, 3), 2)</f>
        <v>13.25</v>
      </c>
      <c r="C18" s="6">
        <f t="shared" ref="C18:D18" si="6">ROUND(_xlfn.QUARTILE.EXC(C2:C11, 3), 2)</f>
        <v>15</v>
      </c>
      <c r="D18" s="6">
        <f t="shared" si="6"/>
        <v>24.25</v>
      </c>
    </row>
    <row r="19" spans="1:4" x14ac:dyDescent="0.3">
      <c r="A19" s="5" t="s">
        <v>33</v>
      </c>
      <c r="B19" s="6">
        <f>MAX(B2:B11)</f>
        <v>15</v>
      </c>
      <c r="C19" s="6">
        <f t="shared" ref="C19:D19" si="7">MAX(C2:C11)</f>
        <v>15</v>
      </c>
      <c r="D19" s="6">
        <f t="shared" si="7"/>
        <v>25</v>
      </c>
    </row>
    <row r="20" spans="1:4" x14ac:dyDescent="0.3">
      <c r="A20" s="5" t="s">
        <v>34</v>
      </c>
      <c r="B20" s="6">
        <f>ROUND(_xlfn.PERCENTILE.EXC(B2:B11, 0.15), 2)</f>
        <v>7.65</v>
      </c>
      <c r="C20" s="6">
        <f t="shared" ref="C20:D20" si="8">ROUND(_xlfn.PERCENTILE.EXC(C2:C11, 0.15), 2)</f>
        <v>9.65</v>
      </c>
      <c r="D20" s="6">
        <f t="shared" si="8"/>
        <v>20.6</v>
      </c>
    </row>
    <row r="21" spans="1:4" x14ac:dyDescent="0.3">
      <c r="A21" s="5" t="s">
        <v>35</v>
      </c>
      <c r="B21" s="6">
        <f>ROUND(_xlfn.PERCENTILE.EXC(B2:B11, 0.6), 2)</f>
        <v>11.6</v>
      </c>
      <c r="C21" s="6">
        <f t="shared" ref="C21:D21" si="9">ROUND(_xlfn.PERCENTILE.EXC(C2:C11, 0.6), 2)</f>
        <v>13</v>
      </c>
      <c r="D21" s="6">
        <f t="shared" si="9"/>
        <v>24</v>
      </c>
    </row>
    <row r="22" spans="1:4" x14ac:dyDescent="0.3">
      <c r="A22" s="5" t="s">
        <v>27</v>
      </c>
      <c r="B22" s="6">
        <f>ROUND(_xlfn.VAR.P(B2:B11), 2)</f>
        <v>6.36</v>
      </c>
      <c r="C22" s="6">
        <f t="shared" ref="C22:D22" si="10">ROUND(_xlfn.VAR.P(C2:C11), 2)</f>
        <v>4.6100000000000003</v>
      </c>
      <c r="D22" s="6">
        <f t="shared" si="10"/>
        <v>3.69</v>
      </c>
    </row>
    <row r="23" spans="1:4" x14ac:dyDescent="0.3">
      <c r="A23" s="5" t="s">
        <v>28</v>
      </c>
      <c r="B23" s="6">
        <f>ROUND(_xlfn.STDEV.P(B2:B11), 2)</f>
        <v>2.52</v>
      </c>
      <c r="C23" s="6">
        <f t="shared" ref="C23:D23" si="11">ROUND(_xlfn.STDEV.P(C2:C11), 2)</f>
        <v>2.15</v>
      </c>
      <c r="D23" s="6">
        <f t="shared" si="11"/>
        <v>1.92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2015-06-05T18:17:20Z</dcterms:created>
  <dcterms:modified xsi:type="dcterms:W3CDTF">2023-12-27T05:32:26Z</dcterms:modified>
</cp:coreProperties>
</file>